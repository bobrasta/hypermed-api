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BINED\-MACHINES,TRAVEL PLANS &amp; MAPS-\-TRAVEL PLANS-\2026\"/>
    </mc:Choice>
  </mc:AlternateContent>
  <xr:revisionPtr revIDLastSave="0" documentId="13_ncr:1_{6A05A70E-2CB8-4691-AD1A-E5F23D71AF69}" xr6:coauthVersionLast="36" xr6:coauthVersionMax="36" xr10:uidLastSave="{00000000-0000-0000-0000-000000000000}"/>
  <bookViews>
    <workbookView xWindow="-105" yWindow="-105" windowWidth="23265" windowHeight="12465" xr2:uid="{00000000-000D-0000-FFFF-FFFF00000000}"/>
  </bookViews>
  <sheets>
    <sheet name="WORKPL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I19" i="1"/>
  <c r="H19" i="1"/>
  <c r="G19" i="1" l="1"/>
</calcChain>
</file>

<file path=xl/sharedStrings.xml><?xml version="1.0" encoding="utf-8"?>
<sst xmlns="http://schemas.openxmlformats.org/spreadsheetml/2006/main" count="82" uniqueCount="65">
  <si>
    <t>Description of the Trip:</t>
  </si>
  <si>
    <t>Trip coverage date</t>
  </si>
  <si>
    <t>No.</t>
  </si>
  <si>
    <t>Region</t>
  </si>
  <si>
    <t>Total</t>
  </si>
  <si>
    <t>Number of sites visited</t>
  </si>
  <si>
    <t>Total number of days spent</t>
  </si>
  <si>
    <t>Average number of days / site</t>
  </si>
  <si>
    <t>Grand total</t>
  </si>
  <si>
    <t>Per diem</t>
  </si>
  <si>
    <t>Activity</t>
  </si>
  <si>
    <t>Site name</t>
  </si>
  <si>
    <t>District</t>
  </si>
  <si>
    <t>Date</t>
  </si>
  <si>
    <t>Signature: ….............................................</t>
  </si>
  <si>
    <t xml:space="preserve">Approved by:  Moses  D. Kiduduye </t>
  </si>
  <si>
    <t>Signature:</t>
  </si>
  <si>
    <t xml:space="preserve">Signature: </t>
  </si>
  <si>
    <t>Managing director</t>
  </si>
  <si>
    <t>Name</t>
  </si>
  <si>
    <t xml:space="preserve">Hypermed Healthcare Ltd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</si>
  <si>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Work Plan </t>
  </si>
  <si>
    <t>Designation</t>
  </si>
  <si>
    <t>Labor</t>
  </si>
  <si>
    <t>Transportation fare</t>
  </si>
  <si>
    <t>Avarage Cost Per site</t>
  </si>
  <si>
    <t>Reviewed by :</t>
  </si>
  <si>
    <r>
      <t xml:space="preserve">Technical supervisor: </t>
    </r>
    <r>
      <rPr>
        <b/>
        <i/>
        <sz val="12"/>
        <rFont val="Times New Roman"/>
        <family val="1"/>
      </rPr>
      <t>Sharifu Kishakali</t>
    </r>
  </si>
  <si>
    <t>Signature:…........................</t>
  </si>
  <si>
    <r>
      <t xml:space="preserve">Finance: </t>
    </r>
    <r>
      <rPr>
        <sz val="12"/>
        <rFont val="Times New Roman"/>
        <family val="1"/>
      </rPr>
      <t>A. Mwaika</t>
    </r>
  </si>
  <si>
    <t>YONAH LEONARD NYANDA</t>
  </si>
  <si>
    <t>ACCOUNT NAME: YONAH LEONARD NYANDA</t>
  </si>
  <si>
    <r>
      <t>Prepared by:</t>
    </r>
    <r>
      <rPr>
        <b/>
        <i/>
        <sz val="12"/>
        <color rgb="FF000000"/>
        <rFont val="Times New Roman"/>
        <family val="1"/>
      </rPr>
      <t xml:space="preserve"> Yonah Leonard Nyanda</t>
    </r>
  </si>
  <si>
    <t>TECHNICAL ENGINEER</t>
  </si>
  <si>
    <t>5525102231207</t>
  </si>
  <si>
    <t>CBCT INSTALLATION,COMMSIONING AND USER TRAINING</t>
  </si>
  <si>
    <t>BUKOBA MJINI</t>
  </si>
  <si>
    <t>DAR ES SALAAM</t>
  </si>
  <si>
    <t>BUKOBA RRH</t>
  </si>
  <si>
    <t>KAGERA</t>
  </si>
  <si>
    <t>INSTALLATION OF CBCT MACHINE</t>
  </si>
  <si>
    <t>INSTALLATION &amp; MACHINE CALIBRATION</t>
  </si>
  <si>
    <t>USER TRAINING AND PRACTICAL SESSION</t>
  </si>
  <si>
    <t>TRAVEL FROM BUKOBA RRH TO BUKOBA DH</t>
  </si>
  <si>
    <t xml:space="preserve">TRAVEL FROM HQ TO BUKOBA </t>
  </si>
  <si>
    <t xml:space="preserve">REPAIR OF X-RAY MACHINE </t>
  </si>
  <si>
    <t>BUKOBA VIJIJI</t>
  </si>
  <si>
    <t>BUKOBA DH</t>
  </si>
  <si>
    <t xml:space="preserve">TRAVEL FROM BUKOBA TO KIGOMA </t>
  </si>
  <si>
    <t>INSTALLATION &amp; TRAINING OF ULTRASOUND MACHINE</t>
  </si>
  <si>
    <t>KIGOMA</t>
  </si>
  <si>
    <t>KIBONDO</t>
  </si>
  <si>
    <t>KIBONDO DH</t>
  </si>
  <si>
    <t>TRAVEL FROM KIBONDO TO KASURU</t>
  </si>
  <si>
    <t>KASURU</t>
  </si>
  <si>
    <t>KASURU TH</t>
  </si>
  <si>
    <t>OPG MACHINE REPAIR</t>
  </si>
  <si>
    <t>TRAVEL FROM KASURU TO BITALE</t>
  </si>
  <si>
    <t>BITALE HC</t>
  </si>
  <si>
    <t>BITALE</t>
  </si>
  <si>
    <t>REPLACEMENT OF X RAY FUSE &amp; TRAVEL FROM KIGOMA TO DAR ES SALAAM</t>
  </si>
  <si>
    <t xml:space="preserve">SELCOM </t>
  </si>
  <si>
    <t>09/21/2026- 10/2/2026</t>
  </si>
  <si>
    <t>Date: 18/09/2026</t>
  </si>
  <si>
    <t>Date:18/09/2026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</si>
</sst>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0" x14ac:knownFonts="1">
    <font>
      <sz val="10"/>
      <name val="Times New Roman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i/>
      <sz val="22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name val="Times New Roman"/>
      <family val="1"/>
    </font>
    <font>
      <b/>
      <i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9" fillId="0" borderId="0">
      <protection locked="0"/>
    </xf>
  </cellStyleXfs>
  <cellXfs count="95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164" fontId="1" fillId="0" borderId="0" xfId="1" applyFont="1" applyAlignment="1" applyProtection="1">
      <alignment horizontal="righ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left" vertical="top" wrapText="1"/>
    </xf>
    <xf numFmtId="165" fontId="5" fillId="2" borderId="5" xfId="0" applyNumberFormat="1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164" fontId="5" fillId="2" borderId="6" xfId="1" applyFont="1" applyFill="1" applyBorder="1" applyAlignment="1" applyProtection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165" fontId="1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7" fillId="0" borderId="8" xfId="0" applyNumberFormat="1" applyFont="1" applyBorder="1" applyAlignment="1">
      <alignment horizontal="left" vertical="center" wrapText="1"/>
    </xf>
    <xf numFmtId="4" fontId="1" fillId="0" borderId="9" xfId="0" applyNumberFormat="1" applyFont="1" applyBorder="1" applyAlignment="1">
      <alignment horizontal="right" vertical="center" shrinkToFit="1"/>
    </xf>
    <xf numFmtId="4" fontId="1" fillId="0" borderId="5" xfId="0" applyNumberFormat="1" applyFont="1" applyBorder="1" applyAlignment="1">
      <alignment horizontal="right" vertical="center" shrinkToFit="1"/>
    </xf>
    <xf numFmtId="164" fontId="1" fillId="0" borderId="6" xfId="1" applyFont="1" applyBorder="1" applyAlignment="1" applyProtection="1">
      <alignment horizontal="right" vertical="center" wrapText="1"/>
    </xf>
    <xf numFmtId="0" fontId="1" fillId="0" borderId="1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8" fillId="0" borderId="5" xfId="0" applyFont="1" applyBorder="1" applyAlignment="1">
      <alignment horizontal="left" vertical="top" wrapText="1"/>
    </xf>
    <xf numFmtId="4" fontId="4" fillId="0" borderId="5" xfId="0" applyNumberFormat="1" applyFont="1" applyBorder="1" applyAlignment="1">
      <alignment horizontal="right" vertical="center" shrinkToFit="1"/>
    </xf>
    <xf numFmtId="4" fontId="4" fillId="0" borderId="5" xfId="0" applyNumberFormat="1" applyFont="1" applyBorder="1" applyAlignment="1">
      <alignment horizontal="right" vertical="top" shrinkToFit="1"/>
    </xf>
    <xf numFmtId="164" fontId="4" fillId="0" borderId="6" xfId="1" applyFont="1" applyBorder="1" applyAlignment="1" applyProtection="1">
      <alignment horizontal="right" vertical="top" shrinkToFit="1"/>
    </xf>
    <xf numFmtId="0" fontId="1" fillId="0" borderId="5" xfId="0" applyFont="1" applyBorder="1" applyAlignment="1">
      <alignment horizontal="left" wrapText="1"/>
    </xf>
    <xf numFmtId="0" fontId="4" fillId="0" borderId="6" xfId="1" applyNumberFormat="1" applyFont="1" applyBorder="1" applyAlignment="1" applyProtection="1">
      <alignment horizontal="right" vertical="top" shrinkToFi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164" fontId="1" fillId="0" borderId="15" xfId="0" applyNumberFormat="1" applyFont="1" applyBorder="1" applyAlignment="1">
      <alignment horizontal="left" wrapText="1"/>
    </xf>
    <xf numFmtId="0" fontId="8" fillId="2" borderId="16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164" fontId="4" fillId="0" borderId="22" xfId="1" applyFont="1" applyBorder="1" applyAlignment="1" applyProtection="1">
      <alignment horizontal="right" vertical="top" shrinkToFit="1"/>
    </xf>
    <xf numFmtId="0" fontId="8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wrapText="1"/>
    </xf>
    <xf numFmtId="49" fontId="4" fillId="0" borderId="24" xfId="0" applyNumberFormat="1" applyFont="1" applyBorder="1" applyAlignment="1">
      <alignment horizontal="center" wrapText="1"/>
    </xf>
    <xf numFmtId="0" fontId="8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center" vertical="top" wrapText="1"/>
    </xf>
    <xf numFmtId="164" fontId="4" fillId="0" borderId="25" xfId="1" applyFont="1" applyBorder="1" applyAlignment="1" applyProtection="1">
      <alignment horizontal="right" vertical="top" shrinkToFit="1"/>
    </xf>
    <xf numFmtId="0" fontId="8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wrapText="1"/>
    </xf>
    <xf numFmtId="49" fontId="1" fillId="0" borderId="27" xfId="0" applyNumberFormat="1" applyFont="1" applyBorder="1" applyAlignment="1">
      <alignment horizontal="center" wrapText="1"/>
    </xf>
    <xf numFmtId="0" fontId="8" fillId="0" borderId="27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center" vertical="top" wrapText="1"/>
    </xf>
    <xf numFmtId="164" fontId="4" fillId="0" borderId="28" xfId="1" applyFont="1" applyBorder="1" applyAlignment="1" applyProtection="1">
      <alignment horizontal="right" vertical="top" shrinkToFit="1"/>
    </xf>
    <xf numFmtId="0" fontId="1" fillId="0" borderId="0" xfId="0" applyFont="1" applyAlignment="1">
      <alignment horizontal="left"/>
    </xf>
    <xf numFmtId="0" fontId="8" fillId="0" borderId="29" xfId="0" applyFont="1" applyBorder="1" applyAlignment="1">
      <alignment horizontal="left" wrapText="1"/>
    </xf>
    <xf numFmtId="0" fontId="8" fillId="0" borderId="30" xfId="0" applyFont="1" applyBorder="1" applyAlignment="1">
      <alignment horizontal="left" wrapText="1"/>
    </xf>
    <xf numFmtId="0" fontId="8" fillId="0" borderId="27" xfId="0" applyFont="1" applyBorder="1" applyAlignment="1">
      <alignment wrapText="1"/>
    </xf>
    <xf numFmtId="0" fontId="8" fillId="0" borderId="31" xfId="0" applyFont="1" applyBorder="1" applyAlignment="1">
      <alignment horizontal="left" wrapText="1"/>
    </xf>
    <xf numFmtId="0" fontId="8" fillId="0" borderId="26" xfId="0" applyFont="1" applyBorder="1" applyAlignment="1">
      <alignment horizontal="left" wrapText="1"/>
    </xf>
    <xf numFmtId="0" fontId="8" fillId="0" borderId="27" xfId="0" applyFont="1" applyBorder="1" applyAlignment="1">
      <alignment horizontal="left" wrapText="1"/>
    </xf>
    <xf numFmtId="0" fontId="8" fillId="0" borderId="28" xfId="0" applyFont="1" applyBorder="1" applyAlignment="1">
      <alignment horizontal="left" wrapText="1"/>
    </xf>
    <xf numFmtId="0" fontId="1" fillId="0" borderId="10" xfId="0" applyFont="1" applyBorder="1" applyAlignment="1">
      <alignment horizontal="left"/>
    </xf>
    <xf numFmtId="165" fontId="4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 wrapText="1"/>
    </xf>
    <xf numFmtId="164" fontId="1" fillId="0" borderId="22" xfId="1" applyFont="1" applyBorder="1" applyAlignment="1" applyProtection="1">
      <alignment horizontal="right"/>
    </xf>
    <xf numFmtId="0" fontId="1" fillId="0" borderId="32" xfId="0" applyFont="1" applyBorder="1" applyAlignment="1">
      <alignment horizontal="left"/>
    </xf>
    <xf numFmtId="165" fontId="4" fillId="0" borderId="33" xfId="0" applyNumberFormat="1" applyFont="1" applyBorder="1" applyAlignment="1">
      <alignment horizontal="left"/>
    </xf>
    <xf numFmtId="165" fontId="1" fillId="0" borderId="33" xfId="0" applyNumberFormat="1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164" fontId="1" fillId="0" borderId="34" xfId="1" applyFont="1" applyBorder="1" applyAlignment="1" applyProtection="1">
      <alignment horizontal="right"/>
    </xf>
    <xf numFmtId="165" fontId="5" fillId="0" borderId="5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49" fontId="6" fillId="0" borderId="24" xfId="0" applyNumberFormat="1" applyFont="1" applyBorder="1" applyAlignment="1">
      <alignment horizontal="left" wrapText="1"/>
    </xf>
    <xf numFmtId="0" fontId="8" fillId="0" borderId="27" xfId="0" applyFont="1" applyBorder="1" applyAlignment="1">
      <alignment horizontal="center" wrapText="1"/>
    </xf>
    <xf numFmtId="49" fontId="4" fillId="2" borderId="18" xfId="0" quotePrefix="1" applyNumberFormat="1" applyFont="1" applyFill="1" applyBorder="1" applyAlignment="1">
      <alignment horizontal="center" vertical="center" wrapText="1"/>
    </xf>
    <xf numFmtId="49" fontId="4" fillId="2" borderId="1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33"/>
  <sheetViews>
    <sheetView tabSelected="1" zoomScale="71" workbookViewId="0">
      <selection activeCell="F33" sqref="F33"/>
    </sheetView>
  </sheetViews>
  <sheetFormatPr defaultColWidth="8" defaultRowHeight="15.75" x14ac:dyDescent="0.2"/>
  <cols>
    <col min="1" max="1" width="4.33203125" style="1" customWidth="1"/>
    <col min="2" max="2" width="47.83203125" style="2" customWidth="1"/>
    <col min="3" max="3" width="26.33203125" style="2" customWidth="1"/>
    <col min="4" max="4" width="22.5" style="1" customWidth="1"/>
    <col min="5" max="5" width="20.83203125" style="1" customWidth="1"/>
    <col min="6" max="6" width="73.1640625" style="1" customWidth="1"/>
    <col min="7" max="7" width="10" style="1" customWidth="1"/>
    <col min="8" max="8" width="16" style="1" customWidth="1"/>
    <col min="9" max="9" width="21.83203125" style="3" customWidth="1"/>
    <col min="10" max="10" width="17.1640625" style="1" customWidth="1"/>
    <col min="11" max="16384" width="8" style="1"/>
  </cols>
  <sheetData>
    <row r="1" spans="1:9" s="4" customFormat="1" ht="37.35" customHeight="1" x14ac:dyDescent="0.35">
      <c r="A1" s="73" t="s">
        <v>20</v>
      </c>
      <c r="B1" s="73"/>
      <c r="C1" s="73"/>
      <c r="D1" s="73"/>
      <c r="E1" s="73"/>
      <c r="F1" s="74" t="s">
        <v>21</v>
      </c>
      <c r="G1" s="74"/>
      <c r="H1" s="74"/>
      <c r="I1" s="74"/>
    </row>
    <row r="2" spans="1:9" s="5" customFormat="1" x14ac:dyDescent="0.2">
      <c r="A2" s="87" t="s">
        <v>0</v>
      </c>
      <c r="B2" s="88"/>
      <c r="C2" s="89" t="s">
        <v>35</v>
      </c>
      <c r="D2" s="89"/>
      <c r="E2" s="89"/>
      <c r="F2" s="89"/>
      <c r="G2" s="89"/>
      <c r="H2" s="89"/>
      <c r="I2" s="90"/>
    </row>
    <row r="3" spans="1:9" s="6" customFormat="1" x14ac:dyDescent="0.2">
      <c r="A3" s="91" t="s">
        <v>1</v>
      </c>
      <c r="B3" s="92"/>
      <c r="C3" s="93" t="s">
        <v>62</v>
      </c>
      <c r="D3" s="93"/>
      <c r="E3" s="93"/>
      <c r="F3" s="93"/>
      <c r="G3" s="93"/>
      <c r="H3" s="93"/>
      <c r="I3" s="94"/>
    </row>
    <row r="4" spans="1:9" x14ac:dyDescent="0.2">
      <c r="A4" s="83" t="s">
        <v>19</v>
      </c>
      <c r="B4" s="84"/>
      <c r="C4" s="85" t="s">
        <v>30</v>
      </c>
      <c r="D4" s="85"/>
      <c r="E4" s="85"/>
      <c r="F4" s="85"/>
      <c r="G4" s="85"/>
      <c r="H4" s="85"/>
      <c r="I4" s="86"/>
    </row>
    <row r="5" spans="1:9" x14ac:dyDescent="0.2">
      <c r="A5" s="83" t="s">
        <v>22</v>
      </c>
      <c r="B5" s="84"/>
      <c r="C5" s="85" t="s">
        <v>33</v>
      </c>
      <c r="D5" s="85"/>
      <c r="E5" s="85"/>
      <c r="F5" s="85"/>
      <c r="G5" s="85"/>
      <c r="H5" s="85"/>
      <c r="I5" s="86"/>
    </row>
    <row r="6" spans="1:9" ht="45.6" customHeight="1" x14ac:dyDescent="0.2">
      <c r="A6" s="7" t="s">
        <v>2</v>
      </c>
      <c r="B6" s="8" t="s">
        <v>13</v>
      </c>
      <c r="C6" s="8" t="s">
        <v>3</v>
      </c>
      <c r="D6" s="9" t="s">
        <v>12</v>
      </c>
      <c r="E6" s="9" t="s">
        <v>11</v>
      </c>
      <c r="F6" s="9" t="s">
        <v>10</v>
      </c>
      <c r="G6" s="9" t="s">
        <v>23</v>
      </c>
      <c r="H6" s="9" t="s">
        <v>9</v>
      </c>
      <c r="I6" s="10" t="s">
        <v>24</v>
      </c>
    </row>
    <row r="7" spans="1:9" ht="26.25" customHeight="1" x14ac:dyDescent="0.2">
      <c r="A7" s="11">
        <v>1</v>
      </c>
      <c r="B7" s="72">
        <v>46286</v>
      </c>
      <c r="C7" s="12" t="s">
        <v>37</v>
      </c>
      <c r="D7" s="13" t="s">
        <v>36</v>
      </c>
      <c r="E7" s="13"/>
      <c r="F7" s="14" t="s">
        <v>44</v>
      </c>
      <c r="G7" s="15">
        <v>0</v>
      </c>
      <c r="H7" s="16">
        <v>80000</v>
      </c>
      <c r="I7" s="17">
        <v>105000</v>
      </c>
    </row>
    <row r="8" spans="1:9" ht="28.5" customHeight="1" x14ac:dyDescent="0.2">
      <c r="A8" s="11">
        <v>2</v>
      </c>
      <c r="B8" s="72">
        <v>46287</v>
      </c>
      <c r="C8" s="12" t="s">
        <v>39</v>
      </c>
      <c r="D8" s="13" t="s">
        <v>36</v>
      </c>
      <c r="E8" s="13" t="s">
        <v>38</v>
      </c>
      <c r="F8" s="14" t="s">
        <v>40</v>
      </c>
      <c r="G8" s="15"/>
      <c r="H8" s="16">
        <v>80000</v>
      </c>
      <c r="I8" s="17"/>
    </row>
    <row r="9" spans="1:9" ht="21.75" customHeight="1" x14ac:dyDescent="0.2">
      <c r="A9" s="11">
        <v>3</v>
      </c>
      <c r="B9" s="72">
        <v>46288</v>
      </c>
      <c r="C9" s="12" t="s">
        <v>39</v>
      </c>
      <c r="D9" s="13" t="s">
        <v>36</v>
      </c>
      <c r="E9" s="13" t="s">
        <v>38</v>
      </c>
      <c r="F9" s="14" t="s">
        <v>41</v>
      </c>
      <c r="G9" s="15">
        <v>0</v>
      </c>
      <c r="H9" s="16">
        <v>80000</v>
      </c>
      <c r="I9" s="17">
        <v>0</v>
      </c>
    </row>
    <row r="10" spans="1:9" ht="21.75" customHeight="1" x14ac:dyDescent="0.2">
      <c r="A10" s="11">
        <v>4</v>
      </c>
      <c r="B10" s="72">
        <v>46289</v>
      </c>
      <c r="C10" s="12" t="s">
        <v>39</v>
      </c>
      <c r="D10" s="13" t="s">
        <v>36</v>
      </c>
      <c r="E10" s="13" t="s">
        <v>38</v>
      </c>
      <c r="F10" s="14" t="s">
        <v>42</v>
      </c>
      <c r="G10" s="15"/>
      <c r="H10" s="16">
        <v>80000</v>
      </c>
      <c r="I10" s="17"/>
    </row>
    <row r="11" spans="1:9" ht="21.75" customHeight="1" x14ac:dyDescent="0.2">
      <c r="A11" s="11">
        <v>5</v>
      </c>
      <c r="B11" s="72">
        <v>46290</v>
      </c>
      <c r="C11" s="12" t="s">
        <v>39</v>
      </c>
      <c r="D11" s="13"/>
      <c r="E11" s="13" t="s">
        <v>47</v>
      </c>
      <c r="F11" s="14" t="s">
        <v>43</v>
      </c>
      <c r="G11" s="15"/>
      <c r="H11" s="16">
        <v>80000</v>
      </c>
      <c r="I11" s="17">
        <v>10000</v>
      </c>
    </row>
    <row r="12" spans="1:9" ht="21.75" customHeight="1" x14ac:dyDescent="0.2">
      <c r="A12" s="11">
        <v>6</v>
      </c>
      <c r="B12" s="72">
        <v>46291</v>
      </c>
      <c r="C12" s="12" t="s">
        <v>39</v>
      </c>
      <c r="D12" s="13" t="s">
        <v>46</v>
      </c>
      <c r="E12" s="13" t="s">
        <v>47</v>
      </c>
      <c r="F12" s="14" t="s">
        <v>45</v>
      </c>
      <c r="G12" s="15"/>
      <c r="H12" s="16">
        <v>80000</v>
      </c>
      <c r="I12" s="17"/>
    </row>
    <row r="13" spans="1:9" ht="21.75" customHeight="1" x14ac:dyDescent="0.2">
      <c r="A13" s="11">
        <v>7</v>
      </c>
      <c r="B13" s="72">
        <v>46292</v>
      </c>
      <c r="C13" s="12" t="s">
        <v>50</v>
      </c>
      <c r="D13" s="13"/>
      <c r="E13" s="13"/>
      <c r="F13" s="14" t="s">
        <v>48</v>
      </c>
      <c r="G13" s="15"/>
      <c r="H13" s="16">
        <v>80000</v>
      </c>
      <c r="I13" s="17">
        <v>50000</v>
      </c>
    </row>
    <row r="14" spans="1:9" ht="21.75" customHeight="1" x14ac:dyDescent="0.2">
      <c r="A14" s="11">
        <v>8</v>
      </c>
      <c r="B14" s="72">
        <v>46293</v>
      </c>
      <c r="C14" s="12" t="s">
        <v>50</v>
      </c>
      <c r="D14" s="13" t="s">
        <v>51</v>
      </c>
      <c r="E14" s="13" t="s">
        <v>52</v>
      </c>
      <c r="F14" s="14" t="s">
        <v>49</v>
      </c>
      <c r="G14" s="15"/>
      <c r="H14" s="16">
        <v>80000</v>
      </c>
      <c r="I14" s="17"/>
    </row>
    <row r="15" spans="1:9" ht="21.75" customHeight="1" x14ac:dyDescent="0.2">
      <c r="A15" s="11">
        <v>9</v>
      </c>
      <c r="B15" s="72">
        <v>46294</v>
      </c>
      <c r="C15" s="12" t="s">
        <v>50</v>
      </c>
      <c r="D15" s="13"/>
      <c r="E15" s="13"/>
      <c r="F15" s="14" t="s">
        <v>53</v>
      </c>
      <c r="G15" s="15"/>
      <c r="H15" s="16">
        <v>80000</v>
      </c>
      <c r="I15" s="17">
        <v>30000</v>
      </c>
    </row>
    <row r="16" spans="1:9" ht="21.75" customHeight="1" x14ac:dyDescent="0.2">
      <c r="A16" s="11">
        <v>10</v>
      </c>
      <c r="B16" s="72">
        <v>46295</v>
      </c>
      <c r="C16" s="12" t="s">
        <v>50</v>
      </c>
      <c r="D16" s="13" t="s">
        <v>54</v>
      </c>
      <c r="E16" s="13" t="s">
        <v>55</v>
      </c>
      <c r="F16" s="14" t="s">
        <v>56</v>
      </c>
      <c r="G16" s="15"/>
      <c r="H16" s="16">
        <v>80000</v>
      </c>
      <c r="I16" s="17"/>
    </row>
    <row r="17" spans="1:9" ht="21.75" customHeight="1" x14ac:dyDescent="0.2">
      <c r="A17" s="11">
        <v>11</v>
      </c>
      <c r="B17" s="72">
        <v>46296</v>
      </c>
      <c r="C17" s="12" t="s">
        <v>50</v>
      </c>
      <c r="D17" s="13"/>
      <c r="E17" s="13"/>
      <c r="F17" s="14" t="s">
        <v>57</v>
      </c>
      <c r="G17" s="15"/>
      <c r="H17" s="16">
        <v>80000</v>
      </c>
      <c r="I17" s="17">
        <v>20000</v>
      </c>
    </row>
    <row r="18" spans="1:9" ht="48.75" customHeight="1" x14ac:dyDescent="0.2">
      <c r="A18" s="11">
        <v>12</v>
      </c>
      <c r="B18" s="72">
        <v>46297</v>
      </c>
      <c r="C18" s="12" t="s">
        <v>50</v>
      </c>
      <c r="D18" s="13" t="s">
        <v>59</v>
      </c>
      <c r="E18" s="13" t="s">
        <v>58</v>
      </c>
      <c r="F18" s="14" t="s">
        <v>60</v>
      </c>
      <c r="G18" s="15"/>
      <c r="H18" s="16">
        <v>50000</v>
      </c>
      <c r="I18" s="17">
        <v>70000</v>
      </c>
    </row>
    <row r="19" spans="1:9" ht="23.25" customHeight="1" x14ac:dyDescent="0.25">
      <c r="A19" s="18"/>
      <c r="B19" s="19"/>
      <c r="C19" s="19"/>
      <c r="D19" s="19"/>
      <c r="E19" s="20"/>
      <c r="F19" s="21" t="s">
        <v>4</v>
      </c>
      <c r="G19" s="22">
        <f>SUM(G7:G18)</f>
        <v>0</v>
      </c>
      <c r="H19" s="22">
        <f>SUM(H7:H18)</f>
        <v>930000</v>
      </c>
      <c r="I19" s="22">
        <f>SUM(I7:I18)</f>
        <v>285000</v>
      </c>
    </row>
    <row r="20" spans="1:9" x14ac:dyDescent="0.25">
      <c r="A20" s="18"/>
      <c r="B20" s="19"/>
      <c r="C20" s="19"/>
      <c r="D20" s="19"/>
      <c r="E20" s="20"/>
      <c r="F20" s="21"/>
      <c r="G20" s="23"/>
      <c r="H20" s="23"/>
      <c r="I20" s="24"/>
    </row>
    <row r="21" spans="1:9" x14ac:dyDescent="0.25">
      <c r="A21" s="18"/>
      <c r="B21" s="19"/>
      <c r="C21" s="19"/>
      <c r="D21" s="19"/>
      <c r="E21" s="20"/>
      <c r="F21" s="21" t="s">
        <v>5</v>
      </c>
      <c r="G21" s="25"/>
      <c r="H21" s="25"/>
      <c r="I21" s="24">
        <v>5</v>
      </c>
    </row>
    <row r="22" spans="1:9" x14ac:dyDescent="0.25">
      <c r="A22" s="18"/>
      <c r="B22" s="19"/>
      <c r="C22" s="19"/>
      <c r="D22" s="19"/>
      <c r="E22" s="20"/>
      <c r="F22" s="21" t="s">
        <v>6</v>
      </c>
      <c r="G22" s="25"/>
      <c r="H22" s="25"/>
      <c r="I22" s="24">
        <v>12</v>
      </c>
    </row>
    <row r="23" spans="1:9" x14ac:dyDescent="0.25">
      <c r="A23" s="18"/>
      <c r="B23" s="19"/>
      <c r="C23" s="19"/>
      <c r="D23" s="19"/>
      <c r="E23" s="20"/>
      <c r="F23" s="21" t="s">
        <v>7</v>
      </c>
      <c r="G23" s="25"/>
      <c r="H23" s="25"/>
      <c r="I23" s="24"/>
    </row>
    <row r="24" spans="1:9" x14ac:dyDescent="0.25">
      <c r="A24" s="18"/>
      <c r="B24" s="19"/>
      <c r="C24" s="19"/>
      <c r="D24" s="19"/>
      <c r="E24" s="20"/>
      <c r="F24" s="21" t="s">
        <v>25</v>
      </c>
      <c r="G24" s="25"/>
      <c r="H24" s="25"/>
      <c r="I24" s="26"/>
    </row>
    <row r="25" spans="1:9" ht="16.5" thickBot="1" x14ac:dyDescent="0.3">
      <c r="A25" s="27"/>
      <c r="B25" s="28"/>
      <c r="C25" s="28"/>
      <c r="D25" s="28"/>
      <c r="E25" s="29"/>
      <c r="F25" s="30" t="s">
        <v>8</v>
      </c>
      <c r="G25" s="31"/>
      <c r="H25" s="32"/>
      <c r="I25" s="24">
        <f>SUM(G19:I19)</f>
        <v>1215000</v>
      </c>
    </row>
    <row r="26" spans="1:9" ht="16.5" thickBot="1" x14ac:dyDescent="0.25">
      <c r="A26" s="33"/>
      <c r="B26" s="34" t="s">
        <v>61</v>
      </c>
      <c r="C26" s="77" t="s">
        <v>34</v>
      </c>
      <c r="D26" s="78"/>
      <c r="E26" s="79"/>
      <c r="F26" s="80" t="s">
        <v>31</v>
      </c>
      <c r="G26" s="81"/>
      <c r="H26" s="81"/>
      <c r="I26" s="82"/>
    </row>
    <row r="27" spans="1:9" ht="24" customHeight="1" x14ac:dyDescent="0.25">
      <c r="A27" s="35"/>
      <c r="B27" s="36" t="s">
        <v>32</v>
      </c>
      <c r="C27" s="37"/>
      <c r="D27" s="37"/>
      <c r="E27" s="37"/>
      <c r="F27" s="38"/>
      <c r="G27" s="39"/>
      <c r="H27" s="39"/>
      <c r="I27" s="40"/>
    </row>
    <row r="28" spans="1:9" ht="45.75" customHeight="1" x14ac:dyDescent="0.25">
      <c r="A28" s="41"/>
      <c r="B28" s="42" t="s">
        <v>14</v>
      </c>
      <c r="C28" s="75" t="s">
        <v>63</v>
      </c>
      <c r="D28" s="75"/>
      <c r="E28" s="43"/>
      <c r="F28" s="44"/>
      <c r="G28" s="45"/>
      <c r="H28" s="45"/>
      <c r="I28" s="46"/>
    </row>
    <row r="29" spans="1:9" ht="43.35" customHeight="1" x14ac:dyDescent="0.25">
      <c r="A29" s="47"/>
      <c r="B29" s="48" t="s">
        <v>26</v>
      </c>
      <c r="C29" s="49"/>
      <c r="D29" s="49"/>
      <c r="E29" s="49"/>
      <c r="F29" s="50"/>
      <c r="G29" s="51"/>
      <c r="H29" s="51"/>
      <c r="I29" s="52"/>
    </row>
    <row r="30" spans="1:9" s="53" customFormat="1" ht="45" customHeight="1" x14ac:dyDescent="0.25">
      <c r="A30" s="54"/>
      <c r="B30" s="55" t="s">
        <v>27</v>
      </c>
      <c r="C30" s="76" t="s">
        <v>28</v>
      </c>
      <c r="D30" s="76"/>
      <c r="E30" s="56" t="s">
        <v>64</v>
      </c>
      <c r="F30" s="55" t="s">
        <v>15</v>
      </c>
      <c r="G30" s="76"/>
      <c r="H30" s="76"/>
      <c r="I30" s="57"/>
    </row>
    <row r="31" spans="1:9" s="53" customFormat="1" ht="35.1" customHeight="1" x14ac:dyDescent="0.25">
      <c r="A31" s="58"/>
      <c r="B31" s="59" t="s">
        <v>29</v>
      </c>
      <c r="C31" s="56"/>
      <c r="D31" s="59"/>
      <c r="E31" s="59"/>
      <c r="F31" s="59" t="s">
        <v>16</v>
      </c>
      <c r="G31" s="59"/>
      <c r="H31" s="59"/>
      <c r="I31" s="60"/>
    </row>
    <row r="32" spans="1:9" s="53" customFormat="1" ht="24" customHeight="1" x14ac:dyDescent="0.25">
      <c r="A32" s="61"/>
      <c r="B32" s="62" t="s">
        <v>17</v>
      </c>
      <c r="C32" s="63"/>
      <c r="F32" s="64" t="s">
        <v>18</v>
      </c>
      <c r="I32" s="65"/>
    </row>
    <row r="33" spans="1:9" s="53" customFormat="1" ht="24" customHeight="1" x14ac:dyDescent="0.25">
      <c r="A33" s="66"/>
      <c r="B33" s="67" t="s">
        <v>64</v>
      </c>
      <c r="C33" s="68"/>
      <c r="D33" s="69"/>
      <c r="E33" s="69"/>
      <c r="F33" s="70" t="s">
        <v>64</v>
      </c>
      <c r="G33" s="69"/>
      <c r="H33" s="69"/>
      <c r="I33" s="71"/>
    </row>
  </sheetData>
  <mergeCells count="15">
    <mergeCell ref="A1:E1"/>
    <mergeCell ref="F1:I1"/>
    <mergeCell ref="C28:D28"/>
    <mergeCell ref="C30:D30"/>
    <mergeCell ref="G30:H30"/>
    <mergeCell ref="C26:E26"/>
    <mergeCell ref="F26:I26"/>
    <mergeCell ref="A4:B4"/>
    <mergeCell ref="C4:I4"/>
    <mergeCell ref="A5:B5"/>
    <mergeCell ref="C5:I5"/>
    <mergeCell ref="A2:B2"/>
    <mergeCell ref="C2:I2"/>
    <mergeCell ref="A3:B3"/>
    <mergeCell ref="C3:I3"/>
  </mergeCell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FA-BD</dc:creator>
  <cp:lastModifiedBy>Yonah Leonard</cp:lastModifiedBy>
  <cp:lastPrinted>2026-09-18T10:08:03Z</cp:lastPrinted>
  <dcterms:created xsi:type="dcterms:W3CDTF">2022-08-28T12:13:35Z</dcterms:created>
  <dcterms:modified xsi:type="dcterms:W3CDTF">2026-09-18T10:17:54Z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9fc3be3a49474faf875f32e47c934918</vt:lpwstr>
  </property>
</Properties>
</file>